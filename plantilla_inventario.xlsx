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<sst xmlns="http://schemas.openxmlformats.org/spreadsheetml/2006/main" count="26" uniqueCount="23">
  <si>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📦 CONTROL DE INVENTARIO</t>
  </si>
  <si>
    <t xml:space="preserve">Producto</t>
  </si>
  <si>
    <t xml:space="preserve">Categoría</t>
  </si>
  <si>
    <t xml:space="preserve">Stock</t>
  </si>
  <si>
    <t xml:space="preserve">Stock mínimo</t>
  </si>
  <si>
    <t xml:space="preserve">Precio unit. (€)</t>
  </si>
  <si>
    <t xml:space="preserve">Estado</t>
  </si>
  <si>
    <t xml:space="preserve">Teclado mecánico</t>
  </si>
  <si>
    <t xml:space="preserve">Periféricos</t>
  </si>
  <si>
    <t xml:space="preserve">Ratón inalámbrico</t>
  </si>
  <si>
    <t xml:space="preserve">Monitor 24"</t>
  </si>
  <si>
    <t xml:space="preserve">Pantallas</t>
  </si>
  <si>
    <t xml:space="preserve">Cable HDMI 2m</t>
  </si>
  <si>
    <t xml:space="preserve">Cables</t>
  </si>
  <si>
    <t xml:space="preserve">SSD 1TB</t>
  </si>
  <si>
    <t xml:space="preserve">Almacenamiento</t>
  </si>
  <si>
    <t xml:space="preserve">Memoria RAM 16GB</t>
  </si>
  <si>
    <t xml:space="preserve">Componentes</t>
  </si>
  <si>
    <t xml:space="preserve">Webcam HD</t>
  </si>
  <si>
    <t xml:space="preserve">Hub USB-C</t>
  </si>
  <si>
    <t xml:space="preserve">Valor total del inventario</t>
  </si>
  <si>
    <t xml:space="preserve">Unidades de Periféricos</t>
  </si>
  <si>
    <t xml:space="preserve">Productos en alerta (≤ mínimo)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</si>
</sst>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4DC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4DC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n">
        <v>12</v>
      </c>
      <c r="D4" s="3" t="n">
        <v>5</v>
      </c>
      <c r="E4" s="4" t="n">
        <v>49.9</v>
      </c>
      <c r="F4" s="3" t="str">
        <f aca="false">IF(C4=0,"❌ AGOTADO",IF(C4&lt;=D4,"⚠️ Reponer","✅ OK"))</f>
        <v>✅ OK</v>
      </c>
    </row>
    <row r="5" customFormat="false" ht="15" hidden="false" customHeight="false" outlineLevel="0" collapsed="false">
      <c r="A5" s="3" t="s">
        <v>9</v>
      </c>
      <c r="B5" s="3" t="s">
        <v>8</v>
      </c>
      <c r="C5" s="3" t="n">
        <v>3</v>
      </c>
      <c r="D5" s="3" t="n">
        <v>5</v>
      </c>
      <c r="E5" s="4" t="n">
        <v>19.9</v>
      </c>
      <c r="F5" s="3" t="str">
        <f aca="false">IF(C5=0,"❌ AGOTADO",IF(C5&lt;=D5,"⚠️ Reponer","✅ OK"))</f>
        <v>⚠️ Reponer</v>
      </c>
    </row>
    <row r="6" customFormat="false" ht="15" hidden="false" customHeight="false" outlineLevel="0" collapsed="false">
      <c r="A6" s="3" t="s">
        <v>10</v>
      </c>
      <c r="B6" s="3" t="s">
        <v>11</v>
      </c>
      <c r="C6" s="3" t="n">
        <v>7</v>
      </c>
      <c r="D6" s="3" t="n">
        <v>3</v>
      </c>
      <c r="E6" s="4" t="n">
        <v>129</v>
      </c>
      <c r="F6" s="3" t="str">
        <f aca="false">IF(C6=0,"❌ AGOTADO",IF(C6&lt;=D6,"⚠️ Reponer","✅ OK"))</f>
        <v>✅ OK</v>
      </c>
    </row>
    <row r="7" customFormat="false" ht="15" hidden="false" customHeight="false" outlineLevel="0" collapsed="false">
      <c r="A7" s="3" t="s">
        <v>12</v>
      </c>
      <c r="B7" s="3" t="s">
        <v>13</v>
      </c>
      <c r="C7" s="3" t="n">
        <v>2</v>
      </c>
      <c r="D7" s="3" t="n">
        <v>10</v>
      </c>
      <c r="E7" s="4" t="n">
        <v>6.5</v>
      </c>
      <c r="F7" s="3" t="str">
        <f aca="false">IF(C7=0,"❌ AGOTADO",IF(C7&lt;=D7,"⚠️ Reponer","✅ OK"))</f>
        <v>⚠️ Reponer</v>
      </c>
    </row>
    <row r="8" customFormat="false" ht="15" hidden="false" customHeight="false" outlineLevel="0" collapsed="false">
      <c r="A8" s="3" t="s">
        <v>14</v>
      </c>
      <c r="B8" s="3" t="s">
        <v>15</v>
      </c>
      <c r="C8" s="3" t="n">
        <v>15</v>
      </c>
      <c r="D8" s="3" t="n">
        <v>4</v>
      </c>
      <c r="E8" s="4" t="n">
        <v>79</v>
      </c>
      <c r="F8" s="3" t="str">
        <f aca="false">IF(C8=0,"❌ AGOTADO",IF(C8&lt;=D8,"⚠️ Reponer","✅ OK"))</f>
        <v>✅ OK</v>
      </c>
    </row>
    <row r="9" customFormat="false" ht="15" hidden="false" customHeight="false" outlineLevel="0" collapsed="false">
      <c r="A9" s="3" t="s">
        <v>16</v>
      </c>
      <c r="B9" s="3" t="s">
        <v>17</v>
      </c>
      <c r="C9" s="3" t="n">
        <v>4</v>
      </c>
      <c r="D9" s="3" t="n">
        <v>4</v>
      </c>
      <c r="E9" s="4" t="n">
        <v>54.9</v>
      </c>
      <c r="F9" s="3" t="str">
        <f aca="false">IF(C9=0,"❌ AGOTADO",IF(C9&lt;=D9,"⚠️ Reponer","✅ OK"))</f>
        <v>⚠️ Reponer</v>
      </c>
    </row>
    <row r="10" customFormat="false" ht="15" hidden="false" customHeight="false" outlineLevel="0" collapsed="false">
      <c r="A10" s="3" t="s">
        <v>18</v>
      </c>
      <c r="B10" s="3" t="s">
        <v>8</v>
      </c>
      <c r="C10" s="3" t="n">
        <v>0</v>
      </c>
      <c r="D10" s="3" t="n">
        <v>2</v>
      </c>
      <c r="E10" s="4" t="n">
        <v>35</v>
      </c>
      <c r="F10" s="3" t="str">
        <f aca="false">IF(C10=0,"❌ AGOTADO",IF(C10&lt;=D10,"⚠️ Reponer","✅ OK"))</f>
        <v>❌ AGOTADO</v>
      </c>
    </row>
    <row r="11" customFormat="false" ht="15" hidden="false" customHeight="false" outlineLevel="0" collapsed="false">
      <c r="A11" s="3" t="s">
        <v>19</v>
      </c>
      <c r="B11" s="3" t="s">
        <v>13</v>
      </c>
      <c r="C11" s="3" t="n">
        <v>9</v>
      </c>
      <c r="D11" s="3" t="n">
        <v>5</v>
      </c>
      <c r="E11" s="4" t="n">
        <v>24.9</v>
      </c>
      <c r="F11" s="3" t="str">
        <f aca="false">IF(C11=0,"❌ AGOTADO",IF(C11&lt;=D11,"⚠️ Reponer","✅ OK"))</f>
        <v>✅ OK</v>
      </c>
    </row>
    <row r="13" customFormat="false" ht="15" hidden="false" customHeight="false" outlineLevel="0" collapsed="false">
      <c r="A13" s="5" t="s">
        <v>20</v>
      </c>
      <c r="E13" s="6" t="n">
        <f aca="false">SUMPRODUCT(C4:C11,E4:E11)</f>
        <v>3203.2</v>
      </c>
    </row>
    <row r="14" customFormat="false" ht="15" hidden="false" customHeight="false" outlineLevel="0" collapsed="false">
      <c r="A14" s="0" t="s">
        <v>21</v>
      </c>
      <c r="E14" s="0" t="n">
        <f aca="false">SUMIF(B4:B11,"Periféricos",C4:C11)</f>
        <v>15</v>
      </c>
    </row>
    <row r="15" customFormat="false" ht="15" hidden="false" customHeight="false" outlineLevel="0" collapsed="false">
      <c r="A15" s="0" t="s">
        <v>22</v>
      </c>
      <c r="E15" s="0" t="n">
        <f aca="false">SUMPRODUCT(--(C4:C11&lt;=D4:D11))</f>
        <v>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2026-06-12T07:19:03Z</dcterms:created>
  <dc:creator>openpyxl</dc:creator>
  <dc:description/>
  <dc:language>en-US</dc:language>
  <cp:lastModifiedBy/>
  <dcterms:modified xsi:type="dcterms:W3CDTF">2026-06-12T07:19:03Z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