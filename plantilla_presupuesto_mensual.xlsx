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<sst xmlns="http://schemas.openxmlformats.org/spreadsheetml/2006/main" count="19" uniqueCount="19">
  <si>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💰 PRESUPUESTO MENSUAL — IGOREXCEL</t>
  </si>
  <si>
    <t xml:space="preserve">Concepto</t>
  </si>
  <si>
    <t xml:space="preserve">Previsto (€)</t>
  </si>
  <si>
    <t xml:space="preserve">Real (€)</t>
  </si>
  <si>
    <t xml:space="preserve">Desviación (€)</t>
  </si>
  <si>
    <t xml:space="preserve">INGRESOS</t>
  </si>
  <si>
    <t xml:space="preserve">Nómina</t>
  </si>
  <si>
    <t xml:space="preserve">Ingresos extra</t>
  </si>
  <si>
    <t xml:space="preserve">Total ingresos</t>
  </si>
  <si>
    <t xml:space="preserve">GASTOS</t>
  </si>
  <si>
    <t xml:space="preserve">Alquiler / hipoteca</t>
  </si>
  <si>
    <t xml:space="preserve">Alimentación</t>
  </si>
  <si>
    <t xml:space="preserve">Transporte</t>
  </si>
  <si>
    <t xml:space="preserve">Suministros (luz, agua, internet)</t>
  </si>
  <si>
    <t xml:space="preserve">Ocio</t>
  </si>
  <si>
    <t xml:space="preserve">Ahorro</t>
  </si>
  <si>
    <t xml:space="preserve">Total gastos</t>
  </si>
  <si>
    <t xml:space="preserve">BALANCE (ingresos − gastos)</t>
  </si>
  <si>
    <t xml:space="preserve">% del ingreso gastado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</si>
</sst>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1734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1734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1734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4DC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4DC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/>
      <c r="C4" s="4"/>
      <c r="D4" s="4"/>
    </row>
    <row r="5" customFormat="false" ht="15" hidden="false" customHeight="false" outlineLevel="0" collapsed="false">
      <c r="A5" s="5" t="s">
        <v>6</v>
      </c>
      <c r="B5" s="4" t="n">
        <v>1800</v>
      </c>
      <c r="C5" s="4" t="n">
        <v>1800</v>
      </c>
      <c r="D5" s="4" t="n">
        <f aca="false">C5-B5</f>
        <v>0</v>
      </c>
    </row>
    <row r="6" customFormat="false" ht="15" hidden="false" customHeight="false" outlineLevel="0" collapsed="false">
      <c r="A6" s="5" t="s">
        <v>7</v>
      </c>
      <c r="B6" s="4" t="n">
        <v>150</v>
      </c>
      <c r="C6" s="4" t="n">
        <v>90</v>
      </c>
      <c r="D6" s="4" t="n">
        <f aca="false">C6-B6</f>
        <v>-60</v>
      </c>
    </row>
    <row r="7" customFormat="false" ht="15" hidden="false" customHeight="false" outlineLevel="0" collapsed="false">
      <c r="A7" s="3" t="s">
        <v>8</v>
      </c>
      <c r="B7" s="6" t="n">
        <f aca="false">SUM(B5:B6)</f>
        <v>1950</v>
      </c>
      <c r="C7" s="6" t="n">
        <f aca="false">SUM(C5:C6)</f>
        <v>1890</v>
      </c>
      <c r="D7" s="6" t="n">
        <f aca="false">C7-B7</f>
        <v>-60</v>
      </c>
    </row>
    <row r="8" customFormat="false" ht="15" hidden="false" customHeight="false" outlineLevel="0" collapsed="false">
      <c r="A8" s="5"/>
      <c r="B8" s="4"/>
      <c r="C8" s="4"/>
      <c r="D8" s="4"/>
    </row>
    <row r="9" customFormat="false" ht="15" hidden="false" customHeight="false" outlineLevel="0" collapsed="false">
      <c r="A9" s="3" t="s">
        <v>9</v>
      </c>
      <c r="B9" s="4"/>
      <c r="C9" s="4"/>
      <c r="D9" s="4"/>
    </row>
    <row r="10" customFormat="false" ht="15" hidden="false" customHeight="false" outlineLevel="0" collapsed="false">
      <c r="A10" s="5" t="s">
        <v>10</v>
      </c>
      <c r="B10" s="4" t="n">
        <v>700</v>
      </c>
      <c r="C10" s="4" t="n">
        <v>700</v>
      </c>
      <c r="D10" s="4" t="n">
        <f aca="false">C10-B10</f>
        <v>0</v>
      </c>
    </row>
    <row r="11" customFormat="false" ht="15" hidden="false" customHeight="false" outlineLevel="0" collapsed="false">
      <c r="A11" s="5" t="s">
        <v>11</v>
      </c>
      <c r="B11" s="4" t="n">
        <v>350</v>
      </c>
      <c r="C11" s="4" t="n">
        <v>412</v>
      </c>
      <c r="D11" s="4" t="n">
        <f aca="false">C11-B11</f>
        <v>62</v>
      </c>
    </row>
    <row r="12" customFormat="false" ht="15" hidden="false" customHeight="false" outlineLevel="0" collapsed="false">
      <c r="A12" s="5" t="s">
        <v>12</v>
      </c>
      <c r="B12" s="4" t="n">
        <v>90</v>
      </c>
      <c r="C12" s="4" t="n">
        <v>75</v>
      </c>
      <c r="D12" s="4" t="n">
        <f aca="false">C12-B12</f>
        <v>-15</v>
      </c>
    </row>
    <row r="13" customFormat="false" ht="15" hidden="false" customHeight="false" outlineLevel="0" collapsed="false">
      <c r="A13" s="5" t="s">
        <v>13</v>
      </c>
      <c r="B13" s="4" t="n">
        <v>160</v>
      </c>
      <c r="C13" s="4" t="n">
        <v>171</v>
      </c>
      <c r="D13" s="4" t="n">
        <f aca="false">C13-B13</f>
        <v>11</v>
      </c>
    </row>
    <row r="14" customFormat="false" ht="15" hidden="false" customHeight="false" outlineLevel="0" collapsed="false">
      <c r="A14" s="5" t="s">
        <v>14</v>
      </c>
      <c r="B14" s="4" t="n">
        <v>120</v>
      </c>
      <c r="C14" s="4" t="n">
        <v>145</v>
      </c>
      <c r="D14" s="4" t="n">
        <f aca="false">C14-B14</f>
        <v>25</v>
      </c>
    </row>
    <row r="15" customFormat="false" ht="15" hidden="false" customHeight="false" outlineLevel="0" collapsed="false">
      <c r="A15" s="5" t="s">
        <v>15</v>
      </c>
      <c r="B15" s="4" t="n">
        <v>200</v>
      </c>
      <c r="C15" s="4" t="n">
        <v>200</v>
      </c>
      <c r="D15" s="4" t="n">
        <f aca="false">C15-B15</f>
        <v>0</v>
      </c>
    </row>
    <row r="16" customFormat="false" ht="15" hidden="false" customHeight="false" outlineLevel="0" collapsed="false">
      <c r="A16" s="3" t="s">
        <v>16</v>
      </c>
      <c r="B16" s="6" t="n">
        <f aca="false">SUM(B10:B15)</f>
        <v>1620</v>
      </c>
      <c r="C16" s="6" t="n">
        <f aca="false">SUM(C10:C15)</f>
        <v>1703</v>
      </c>
      <c r="D16" s="6" t="n">
        <f aca="false">C16-B16</f>
        <v>83</v>
      </c>
    </row>
    <row r="17" customFormat="false" ht="15" hidden="false" customHeight="false" outlineLevel="0" collapsed="false">
      <c r="A17" s="5"/>
      <c r="B17" s="4"/>
      <c r="C17" s="4"/>
      <c r="D17" s="4"/>
    </row>
    <row r="18" customFormat="false" ht="15" hidden="false" customHeight="false" outlineLevel="0" collapsed="false">
      <c r="A18" s="7" t="s">
        <v>17</v>
      </c>
      <c r="B18" s="6" t="n">
        <f aca="false">B7-B16</f>
        <v>330</v>
      </c>
      <c r="C18" s="6" t="n">
        <f aca="false">C7-C16</f>
        <v>187</v>
      </c>
      <c r="D18" s="4"/>
    </row>
    <row r="19" customFormat="false" ht="15" hidden="false" customHeight="false" outlineLevel="0" collapsed="false">
      <c r="A19" s="5" t="s">
        <v>18</v>
      </c>
      <c r="B19" s="5"/>
      <c r="C19" s="8" t="n">
        <f aca="false">C16/C7</f>
        <v>0.901058201058201</v>
      </c>
      <c r="D19" s="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2026-06-12T07:19:03Z</dcterms:created>
  <dc:creator>openpyxl</dc:creator>
  <dc:description/>
  <dc:language>en-US</dc:language>
  <cp:lastModifiedBy/>
  <dcterms:modified xsi:type="dcterms:W3CDTF">2026-06-12T07:19:03Z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