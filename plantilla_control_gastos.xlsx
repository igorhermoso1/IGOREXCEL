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<sst xmlns="http://schemas.openxmlformats.org/spreadsheetml/2006/main" count="30" uniqueCount="20">
  <si>
    <t xml:space="preserve">📒 CONTROL DE GASTOS</t>
  </si>
  <si>
    <t xml:space="preserve">Fecha</t>
  </si>
  <si>
    <t xml:space="preserve">Categoría</t>
  </si>
  <si>
    <t xml:space="preserve">Descripción</t>
  </si>
  <si>
    <t xml:space="preserve">Importe (€)</t>
  </si>
  <si>
    <t xml:space="preserve">RESUMEN POR CATEGORÍA</t>
  </si>
  <si>
    <t xml:space="preserve">Alimentación</t>
  </si>
  <si>
    <t xml:space="preserve">Supermercado</t>
  </si>
  <si>
    <t xml:space="preserve">Total (€)</t>
  </si>
  <si>
    <t xml:space="preserve">Nº gastos</t>
  </si>
  <si>
    <t xml:space="preserve">Transporte</t>
  </si>
  <si>
    <t xml:space="preserve">Gasolina</t>
  </si>
  <si>
    <t xml:space="preserve">Ocio</t>
  </si>
  <si>
    <t xml:space="preserve">Cine</t>
  </si>
  <si>
    <t xml:space="preserve">Frutería</t>
  </si>
  <si>
    <t xml:space="preserve">Hogar</t>
  </si>
  <si>
    <t xml:space="preserve">Bombillas LED</t>
  </si>
  <si>
    <t xml:space="preserve">Restaurante</t>
  </si>
  <si>
    <t xml:space="preserve">TOTAL</t>
  </si>
  <si>
    <t xml:space="preserve">Parking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</si>
</sst>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734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4DC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4DC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F3" s="3" t="s">
        <v>5</v>
      </c>
    </row>
    <row r="4" customFormat="false" ht="15" hidden="false" customHeight="false" outlineLevel="0" collapsed="false">
      <c r="A4" s="4" t="n">
        <v>46174</v>
      </c>
      <c r="B4" s="5" t="s">
        <v>6</v>
      </c>
      <c r="C4" s="5" t="s">
        <v>7</v>
      </c>
      <c r="D4" s="6" t="n">
        <v>62.4</v>
      </c>
      <c r="F4" s="2" t="s">
        <v>2</v>
      </c>
      <c r="G4" s="2" t="s">
        <v>8</v>
      </c>
      <c r="H4" s="2" t="s">
        <v>9</v>
      </c>
    </row>
    <row r="5" customFormat="false" ht="15" hidden="false" customHeight="false" outlineLevel="0" collapsed="false">
      <c r="A5" s="4" t="n">
        <v>46175</v>
      </c>
      <c r="B5" s="5" t="s">
        <v>10</v>
      </c>
      <c r="C5" s="5" t="s">
        <v>11</v>
      </c>
      <c r="D5" s="6" t="n">
        <v>45</v>
      </c>
      <c r="F5" s="7" t="s">
        <v>6</v>
      </c>
      <c r="G5" s="8" t="n">
        <f aca="false">SUMIF($B$4:$B$11,F5,$D$4:$D$11)</f>
        <v>145.9</v>
      </c>
      <c r="H5" s="7" t="n">
        <f aca="false">COUNTIF($B$4:$B$11,F5)</f>
        <v>3</v>
      </c>
    </row>
    <row r="6" customFormat="false" ht="15" hidden="false" customHeight="false" outlineLevel="0" collapsed="false">
      <c r="A6" s="4" t="n">
        <v>46176</v>
      </c>
      <c r="B6" s="5" t="s">
        <v>12</v>
      </c>
      <c r="C6" s="5" t="s">
        <v>13</v>
      </c>
      <c r="D6" s="6" t="n">
        <v>18.5</v>
      </c>
      <c r="F6" s="7" t="s">
        <v>10</v>
      </c>
      <c r="G6" s="8" t="n">
        <f aca="false">SUMIF($B$4:$B$11,F6,$D$4:$D$11)</f>
        <v>51</v>
      </c>
      <c r="H6" s="7" t="n">
        <f aca="false">COUNTIF($B$4:$B$11,F6)</f>
        <v>2</v>
      </c>
    </row>
    <row r="7" customFormat="false" ht="15" hidden="false" customHeight="false" outlineLevel="0" collapsed="false">
      <c r="A7" s="4" t="n">
        <v>46178</v>
      </c>
      <c r="B7" s="5" t="s">
        <v>6</v>
      </c>
      <c r="C7" s="5" t="s">
        <v>14</v>
      </c>
      <c r="D7" s="6" t="n">
        <v>12.3</v>
      </c>
      <c r="F7" s="7" t="s">
        <v>12</v>
      </c>
      <c r="G7" s="8" t="n">
        <f aca="false">SUMIF($B$4:$B$11,F7,$D$4:$D$11)</f>
        <v>72.5</v>
      </c>
      <c r="H7" s="7" t="n">
        <f aca="false">COUNTIF($B$4:$B$11,F7)</f>
        <v>2</v>
      </c>
    </row>
    <row r="8" customFormat="false" ht="15" hidden="false" customHeight="false" outlineLevel="0" collapsed="false">
      <c r="A8" s="4" t="n">
        <v>46180</v>
      </c>
      <c r="B8" s="5" t="s">
        <v>15</v>
      </c>
      <c r="C8" s="5" t="s">
        <v>16</v>
      </c>
      <c r="D8" s="6" t="n">
        <v>9.9</v>
      </c>
      <c r="F8" s="7" t="s">
        <v>15</v>
      </c>
      <c r="G8" s="8" t="n">
        <f aca="false">SUMIF($B$4:$B$11,F8,$D$4:$D$11)</f>
        <v>9.9</v>
      </c>
      <c r="H8" s="7" t="n">
        <f aca="false">COUNTIF($B$4:$B$11,F8)</f>
        <v>1</v>
      </c>
    </row>
    <row r="9" customFormat="false" ht="15" hidden="false" customHeight="false" outlineLevel="0" collapsed="false">
      <c r="A9" s="4" t="n">
        <v>46181</v>
      </c>
      <c r="B9" s="5" t="s">
        <v>12</v>
      </c>
      <c r="C9" s="5" t="s">
        <v>17</v>
      </c>
      <c r="D9" s="6" t="n">
        <v>54</v>
      </c>
      <c r="F9" s="3" t="s">
        <v>18</v>
      </c>
      <c r="G9" s="9" t="n">
        <f aca="false">SUM(D4:D11)</f>
        <v>279.3</v>
      </c>
    </row>
    <row r="10" customFormat="false" ht="15" hidden="false" customHeight="false" outlineLevel="0" collapsed="false">
      <c r="A10" s="4" t="n">
        <v>46183</v>
      </c>
      <c r="B10" s="5" t="s">
        <v>10</v>
      </c>
      <c r="C10" s="5" t="s">
        <v>19</v>
      </c>
      <c r="D10" s="6" t="n">
        <v>6</v>
      </c>
    </row>
    <row r="11" customFormat="false" ht="15" hidden="false" customHeight="false" outlineLevel="0" collapsed="false">
      <c r="A11" s="4" t="n">
        <v>46184</v>
      </c>
      <c r="B11" s="5" t="s">
        <v>6</v>
      </c>
      <c r="C11" s="5" t="s">
        <v>7</v>
      </c>
      <c r="D11" s="6" t="n">
        <v>71.2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2026-06-12T07:19:03Z</dcterms:created>
  <dc:creator>openpyxl</dc:creator>
  <dc:description/>
  <dc:language>en-US</dc:language>
  <cp:lastModifiedBy/>
  <dcterms:modified xsi:type="dcterms:W3CDTF">2026-06-12T07:19:03Z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