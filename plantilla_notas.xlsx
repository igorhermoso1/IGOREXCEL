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<sst xmlns="http://schemas.openxmlformats.org/spreadsheetml/2006/main" count="16" uniqueCount="16">
  <si>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📈 REGISTRO DE NOTAS</t>
  </si>
  <si>
    <t xml:space="preserve">Alumno/a</t>
  </si>
  <si>
    <t xml:space="preserve">Eval. 1 (30%)</t>
  </si>
  <si>
    <t xml:space="preserve">Eval. 2 (30%)</t>
  </si>
  <si>
    <t xml:space="preserve">Eval. 3 (40%)</t>
  </si>
  <si>
    <t xml:space="preserve">Media ponderada</t>
  </si>
  <si>
    <t xml:space="preserve">Media simple</t>
  </si>
  <si>
    <t xml:space="preserve">Resultado</t>
  </si>
  <si>
    <t xml:space="preserve">Ane</t>
  </si>
  <si>
    <t xml:space="preserve">Mikel</t>
  </si>
  <si>
    <t xml:space="preserve">June</t>
  </si>
  <si>
    <t xml:space="preserve">Iker</t>
  </si>
  <si>
    <t xml:space="preserve">Leire</t>
  </si>
  <si>
    <t xml:space="preserve">Media de la clase</t>
  </si>
  <si>
    <t xml:space="preserve">Aprobados</t>
  </si>
  <si>
    <t xml:space="preserve">Nota más alta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</si>
</sst>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1734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1734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4DC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4DC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3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3" t="n">
        <v>7.5</v>
      </c>
      <c r="C4" s="3" t="n">
        <v>8</v>
      </c>
      <c r="D4" s="3" t="n">
        <v>9</v>
      </c>
      <c r="E4" s="3" t="n">
        <f aca="false">ROUND(B4*0.3+C4*0.3+D4*0.4,2)</f>
        <v>8.25</v>
      </c>
      <c r="F4" s="3" t="n">
        <f aca="false">ROUND(AVERAGE(B4:D4),2)</f>
        <v>8.17</v>
      </c>
      <c r="G4" s="3" t="str">
        <f aca="false">IF(E4&gt;=9,"Sobresaliente",IF(E4&gt;=7,"Notable",IF(E4&gt;=5,"Aprobado","Suspenso")))</f>
        <v>Notable</v>
      </c>
    </row>
    <row r="5" customFormat="false" ht="15" hidden="false" customHeight="false" outlineLevel="0" collapsed="false">
      <c r="A5" s="3" t="s">
        <v>9</v>
      </c>
      <c r="B5" s="3" t="n">
        <v>4</v>
      </c>
      <c r="C5" s="3" t="n">
        <v>5.5</v>
      </c>
      <c r="D5" s="3" t="n">
        <v>6</v>
      </c>
      <c r="E5" s="3" t="n">
        <f aca="false">ROUND(B5*0.3+C5*0.3+D5*0.4,2)</f>
        <v>5.25</v>
      </c>
      <c r="F5" s="3" t="n">
        <f aca="false">ROUND(AVERAGE(B5:D5),2)</f>
        <v>5.17</v>
      </c>
      <c r="G5" s="3" t="str">
        <f aca="false">IF(E5&gt;=9,"Sobresaliente",IF(E5&gt;=7,"Notable",IF(E5&gt;=5,"Aprobado","Suspenso")))</f>
        <v>Aprobado</v>
      </c>
    </row>
    <row r="6" customFormat="false" ht="15" hidden="false" customHeight="false" outlineLevel="0" collapsed="false">
      <c r="A6" s="3" t="s">
        <v>10</v>
      </c>
      <c r="B6" s="3" t="n">
        <v>9</v>
      </c>
      <c r="C6" s="3" t="n">
        <v>9.5</v>
      </c>
      <c r="D6" s="3" t="n">
        <v>10</v>
      </c>
      <c r="E6" s="3" t="n">
        <f aca="false">ROUND(B6*0.3+C6*0.3+D6*0.4,2)</f>
        <v>9.55</v>
      </c>
      <c r="F6" s="3" t="n">
        <f aca="false">ROUND(AVERAGE(B6:D6),2)</f>
        <v>9.5</v>
      </c>
      <c r="G6" s="3" t="str">
        <f aca="false">IF(E6&gt;=9,"Sobresaliente",IF(E6&gt;=7,"Notable",IF(E6&gt;=5,"Aprobado","Suspenso")))</f>
        <v>Sobresaliente</v>
      </c>
    </row>
    <row r="7" customFormat="false" ht="15" hidden="false" customHeight="false" outlineLevel="0" collapsed="false">
      <c r="A7" s="3" t="s">
        <v>11</v>
      </c>
      <c r="B7" s="3" t="n">
        <v>3</v>
      </c>
      <c r="C7" s="3" t="n">
        <v>4</v>
      </c>
      <c r="D7" s="3" t="n">
        <v>4.5</v>
      </c>
      <c r="E7" s="3" t="n">
        <f aca="false">ROUND(B7*0.3+C7*0.3+D7*0.4,2)</f>
        <v>3.9</v>
      </c>
      <c r="F7" s="3" t="n">
        <f aca="false">ROUND(AVERAGE(B7:D7),2)</f>
        <v>3.83</v>
      </c>
      <c r="G7" s="3" t="str">
        <f aca="false">IF(E7&gt;=9,"Sobresaliente",IF(E7&gt;=7,"Notable",IF(E7&gt;=5,"Aprobado","Suspenso")))</f>
        <v>Suspenso</v>
      </c>
    </row>
    <row r="8" customFormat="false" ht="15" hidden="false" customHeight="false" outlineLevel="0" collapsed="false">
      <c r="A8" s="3" t="s">
        <v>12</v>
      </c>
      <c r="B8" s="3" t="n">
        <v>6</v>
      </c>
      <c r="C8" s="3" t="n">
        <v>7</v>
      </c>
      <c r="D8" s="3" t="n">
        <v>6.5</v>
      </c>
      <c r="E8" s="3" t="n">
        <f aca="false">ROUND(B8*0.3+C8*0.3+D8*0.4,2)</f>
        <v>6.5</v>
      </c>
      <c r="F8" s="3" t="n">
        <f aca="false">ROUND(AVERAGE(B8:D8),2)</f>
        <v>6.5</v>
      </c>
      <c r="G8" s="3" t="str">
        <f aca="false">IF(E8&gt;=9,"Sobresaliente",IF(E8&gt;=7,"Notable",IF(E8&gt;=5,"Aprobado","Suspenso")))</f>
        <v>Aprobado</v>
      </c>
    </row>
    <row r="10" customFormat="false" ht="15" hidden="false" customHeight="false" outlineLevel="0" collapsed="false">
      <c r="A10" s="4" t="s">
        <v>13</v>
      </c>
      <c r="E10" s="4" t="n">
        <f aca="false">ROUND(AVERAGE(E4:E8),2)</f>
        <v>6.69</v>
      </c>
    </row>
    <row r="11" customFormat="false" ht="15" hidden="false" customHeight="false" outlineLevel="0" collapsed="false">
      <c r="A11" s="0" t="s">
        <v>14</v>
      </c>
      <c r="E11" s="0" t="n">
        <f aca="false">COUNTIF(G4:G8,"&lt;&gt;Suspenso")</f>
        <v>4</v>
      </c>
    </row>
    <row r="12" customFormat="false" ht="15" hidden="false" customHeight="false" outlineLevel="0" collapsed="false">
      <c r="A12" s="0" t="s">
        <v>15</v>
      </c>
      <c r="E12" s="0" t="n">
        <f aca="false">MAX(E4:E8)</f>
        <v>9.55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2026-06-12T07:19:03Z</dcterms:created>
  <dc:creator>openpyxl</dc:creator>
  <dc:description/>
  <dc:language>en-US</dc:language>
  <cp:lastModifiedBy/>
  <dcterms:modified xsi:type="dcterms:W3CDTF">2026-06-12T07:19:03Z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